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82D0C90D-C858-044F-85E8-E656BA7CD134}" xr6:coauthVersionLast="40" xr6:coauthVersionMax="40" xr10:uidLastSave="{00000000-0000-0000-0000-000000000000}"/>
  <bookViews>
    <workbookView xWindow="860" yWindow="1280" windowWidth="23620" windowHeight="1510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<sst xmlns="http://schemas.openxmlformats.org/spreadsheetml/2006/main" count="46" uniqueCount="8">
  <si>
    <t>Cause</t>
  </si>
  <si>
    <t>Sex</t>
  </si>
  <si>
    <t>Age</t>
  </si>
  <si>
    <t>DIC non-pw</t>
  </si>
  <si>
    <t>DIC pw</t>
  </si>
  <si>
    <t>External</t>
  </si>
  <si>
    <t>Lowest DIC</t>
  </si>
  <si>
    <t>Cardiorespiratory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</si>
</sst>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41"/>
  <sheetViews>
    <sheetView tabSelected="1" topLeftCell="A17" workbookViewId="0">
      <selection activeCell="A41" sqref="A41"/>
    </sheetView>
  </sheetViews>
  <sheetFormatPr baseColWidth="10" defaultRowHeight="16" x14ac:dyDescent="0.2"/>
  <cols>
    <col min="1" max="1" width="15.1640625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t="s">
        <v>5</v>
      </c>
      <c r="B2">
        <v>1</v>
      </c>
      <c r="C2">
        <v>0</v>
      </c>
      <c r="D2">
        <v>77570.92</v>
      </c>
      <c r="E2">
        <v>75489.990000000005</v>
      </c>
      <c r="F2" t="str">
        <f>IF(D2&lt;E2,"non-pw","pw")</f>
        <v>pw</v>
      </c>
    </row>
    <row r="3" spans="1:6" x14ac:dyDescent="0.2">
      <c r="A3" t="s">
        <v>5</v>
      </c>
      <c r="B3">
        <v>1</v>
      </c>
      <c r="C3">
        <v>5</v>
      </c>
      <c r="D3">
        <v>77454</v>
      </c>
      <c r="E3">
        <v>77421.31</v>
      </c>
      <c r="F3" t="str">
        <f t="shared" ref="F3:F21" si="0">IF(D3&lt;E3,"non-pw","pw")</f>
        <v>pw</v>
      </c>
    </row>
    <row r="4" spans="1:6" x14ac:dyDescent="0.2">
      <c r="A4" t="s">
        <v>5</v>
      </c>
      <c r="B4">
        <v>1</v>
      </c>
      <c r="C4">
        <v>15</v>
      </c>
      <c r="D4">
        <v>108549.26</v>
      </c>
      <c r="E4">
        <v>108545.12</v>
      </c>
      <c r="F4" t="str">
        <f t="shared" si="0"/>
        <v>pw</v>
      </c>
    </row>
    <row r="5" spans="1:6" x14ac:dyDescent="0.2">
      <c r="A5" t="s">
        <v>5</v>
      </c>
      <c r="B5">
        <v>1</v>
      </c>
      <c r="C5">
        <v>25</v>
      </c>
      <c r="D5">
        <v>106856.38</v>
      </c>
      <c r="E5">
        <v>106856.64</v>
      </c>
      <c r="F5" t="str">
        <f t="shared" si="0"/>
        <v>non-pw</v>
      </c>
    </row>
    <row r="6" spans="1:6" x14ac:dyDescent="0.2">
      <c r="A6" t="s">
        <v>5</v>
      </c>
      <c r="B6">
        <v>1</v>
      </c>
      <c r="C6">
        <v>35</v>
      </c>
      <c r="D6">
        <v>103815.72</v>
      </c>
      <c r="E6">
        <v>103817.71</v>
      </c>
      <c r="F6" t="str">
        <f t="shared" si="0"/>
        <v>non-pw</v>
      </c>
    </row>
    <row r="7" spans="1:6" x14ac:dyDescent="0.2">
      <c r="A7" t="s">
        <v>5</v>
      </c>
      <c r="B7">
        <v>1</v>
      </c>
      <c r="C7">
        <v>45</v>
      </c>
      <c r="D7">
        <v>101178.1</v>
      </c>
      <c r="E7">
        <v>101178.96</v>
      </c>
      <c r="F7" t="str">
        <f t="shared" si="0"/>
        <v>non-pw</v>
      </c>
    </row>
    <row r="8" spans="1:6" x14ac:dyDescent="0.2">
      <c r="A8" t="s">
        <v>5</v>
      </c>
      <c r="B8">
        <v>1</v>
      </c>
      <c r="C8">
        <v>55</v>
      </c>
      <c r="D8">
        <v>96436.07</v>
      </c>
      <c r="E8">
        <v>96437.69</v>
      </c>
      <c r="F8" t="str">
        <f t="shared" si="0"/>
        <v>non-pw</v>
      </c>
    </row>
    <row r="9" spans="1:6" x14ac:dyDescent="0.2">
      <c r="A9" t="s">
        <v>5</v>
      </c>
      <c r="B9">
        <v>1</v>
      </c>
      <c r="C9">
        <v>65</v>
      </c>
      <c r="D9">
        <v>94039.11</v>
      </c>
      <c r="E9">
        <v>94043.63</v>
      </c>
      <c r="F9" t="str">
        <f t="shared" si="0"/>
        <v>non-pw</v>
      </c>
    </row>
    <row r="10" spans="1:6" x14ac:dyDescent="0.2">
      <c r="A10" t="s">
        <v>5</v>
      </c>
      <c r="B10">
        <v>1</v>
      </c>
      <c r="C10">
        <v>75</v>
      </c>
      <c r="D10">
        <v>94344.61</v>
      </c>
      <c r="E10">
        <v>94352.59</v>
      </c>
      <c r="F10" t="str">
        <f t="shared" si="0"/>
        <v>non-pw</v>
      </c>
    </row>
    <row r="11" spans="1:6" x14ac:dyDescent="0.2">
      <c r="A11" t="s">
        <v>5</v>
      </c>
      <c r="B11">
        <v>1</v>
      </c>
      <c r="C11">
        <v>85</v>
      </c>
      <c r="D11">
        <v>88751.11</v>
      </c>
      <c r="E11">
        <v>88754.08</v>
      </c>
      <c r="F11" t="str">
        <f t="shared" si="0"/>
        <v>non-pw</v>
      </c>
    </row>
    <row r="12" spans="1:6" x14ac:dyDescent="0.2">
      <c r="A12" t="s">
        <v>5</v>
      </c>
      <c r="B12">
        <v>2</v>
      </c>
      <c r="C12">
        <v>0</v>
      </c>
      <c r="D12">
        <v>69223.5</v>
      </c>
      <c r="E12">
        <v>69242.03</v>
      </c>
      <c r="F12" t="str">
        <f t="shared" si="0"/>
        <v>non-pw</v>
      </c>
    </row>
    <row r="13" spans="1:6" x14ac:dyDescent="0.2">
      <c r="A13" t="s">
        <v>5</v>
      </c>
      <c r="B13">
        <v>2</v>
      </c>
      <c r="C13">
        <v>5</v>
      </c>
      <c r="D13">
        <v>67177.66</v>
      </c>
      <c r="E13">
        <v>67206.14</v>
      </c>
      <c r="F13" t="str">
        <f t="shared" si="0"/>
        <v>non-pw</v>
      </c>
    </row>
    <row r="14" spans="1:6" x14ac:dyDescent="0.2">
      <c r="A14" t="s">
        <v>5</v>
      </c>
      <c r="B14">
        <v>2</v>
      </c>
      <c r="C14">
        <v>15</v>
      </c>
      <c r="D14">
        <v>90455.09</v>
      </c>
      <c r="E14">
        <v>90461.759999999995</v>
      </c>
      <c r="F14" t="str">
        <f t="shared" si="0"/>
        <v>non-pw</v>
      </c>
    </row>
    <row r="15" spans="1:6" x14ac:dyDescent="0.2">
      <c r="A15" t="s">
        <v>5</v>
      </c>
      <c r="B15">
        <v>2</v>
      </c>
      <c r="C15">
        <v>25</v>
      </c>
      <c r="D15">
        <v>89648.6</v>
      </c>
      <c r="E15">
        <v>89656.19</v>
      </c>
      <c r="F15" t="str">
        <f t="shared" si="0"/>
        <v>non-pw</v>
      </c>
    </row>
    <row r="16" spans="1:6" x14ac:dyDescent="0.2">
      <c r="A16" t="s">
        <v>5</v>
      </c>
      <c r="B16">
        <v>2</v>
      </c>
      <c r="C16">
        <v>35</v>
      </c>
      <c r="D16">
        <v>89393.78</v>
      </c>
      <c r="E16">
        <v>89401.36</v>
      </c>
      <c r="F16" t="str">
        <f t="shared" si="0"/>
        <v>non-pw</v>
      </c>
    </row>
    <row r="17" spans="1:6" x14ac:dyDescent="0.2">
      <c r="A17" t="s">
        <v>5</v>
      </c>
      <c r="B17">
        <v>2</v>
      </c>
      <c r="C17">
        <v>45</v>
      </c>
      <c r="D17">
        <v>87930.96</v>
      </c>
      <c r="E17">
        <v>87932.18</v>
      </c>
      <c r="F17" t="str">
        <f t="shared" si="0"/>
        <v>non-pw</v>
      </c>
    </row>
    <row r="18" spans="1:6" x14ac:dyDescent="0.2">
      <c r="A18" t="s">
        <v>5</v>
      </c>
      <c r="B18">
        <v>2</v>
      </c>
      <c r="C18">
        <v>55</v>
      </c>
      <c r="D18">
        <v>85391.31</v>
      </c>
      <c r="E18">
        <v>85398.73</v>
      </c>
      <c r="F18" t="str">
        <f t="shared" si="0"/>
        <v>non-pw</v>
      </c>
    </row>
    <row r="19" spans="1:6" x14ac:dyDescent="0.2">
      <c r="A19" t="s">
        <v>5</v>
      </c>
      <c r="B19">
        <v>2</v>
      </c>
      <c r="C19">
        <v>65</v>
      </c>
      <c r="D19">
        <v>85761.37</v>
      </c>
      <c r="E19">
        <v>85768.77</v>
      </c>
      <c r="F19" t="str">
        <f t="shared" si="0"/>
        <v>non-pw</v>
      </c>
    </row>
    <row r="20" spans="1:6" x14ac:dyDescent="0.2">
      <c r="A20" t="s">
        <v>5</v>
      </c>
      <c r="B20">
        <v>2</v>
      </c>
      <c r="C20">
        <v>75</v>
      </c>
      <c r="D20">
        <v>91521.7</v>
      </c>
      <c r="E20">
        <v>91525.15</v>
      </c>
      <c r="F20" t="str">
        <f t="shared" si="0"/>
        <v>non-pw</v>
      </c>
    </row>
    <row r="21" spans="1:6" x14ac:dyDescent="0.2">
      <c r="A21" t="s">
        <v>5</v>
      </c>
      <c r="B21">
        <v>2</v>
      </c>
      <c r="C21">
        <v>85</v>
      </c>
      <c r="D21">
        <v>93508.68</v>
      </c>
      <c r="E21">
        <v>93512.31</v>
      </c>
      <c r="F21" t="str">
        <f t="shared" si="0"/>
        <v>non-pw</v>
      </c>
    </row>
    <row r="22" spans="1:6" x14ac:dyDescent="0.2">
      <c r="A22" t="s">
        <v>7</v>
      </c>
      <c r="B22">
        <v>1</v>
      </c>
      <c r="C22">
        <v>0</v>
      </c>
    </row>
    <row r="23" spans="1:6" x14ac:dyDescent="0.2">
      <c r="A23" t="s">
        <v>7</v>
      </c>
      <c r="B23">
        <v>1</v>
      </c>
      <c r="C23">
        <v>5</v>
      </c>
    </row>
    <row r="24" spans="1:6" x14ac:dyDescent="0.2">
      <c r="A24" t="s">
        <v>7</v>
      </c>
      <c r="B24">
        <v>1</v>
      </c>
      <c r="C24">
        <v>15</v>
      </c>
    </row>
    <row r="25" spans="1:6" x14ac:dyDescent="0.2">
      <c r="A25" t="s">
        <v>7</v>
      </c>
      <c r="B25">
        <v>1</v>
      </c>
      <c r="C25">
        <v>25</v>
      </c>
    </row>
    <row r="26" spans="1:6" x14ac:dyDescent="0.2">
      <c r="A26" t="s">
        <v>7</v>
      </c>
      <c r="B26">
        <v>1</v>
      </c>
      <c r="C26">
        <v>35</v>
      </c>
    </row>
    <row r="27" spans="1:6" x14ac:dyDescent="0.2">
      <c r="A27" t="s">
        <v>7</v>
      </c>
      <c r="B27">
        <v>1</v>
      </c>
      <c r="C27">
        <v>45</v>
      </c>
    </row>
    <row r="28" spans="1:6" x14ac:dyDescent="0.2">
      <c r="A28" t="s">
        <v>7</v>
      </c>
      <c r="B28">
        <v>1</v>
      </c>
      <c r="C28">
        <v>55</v>
      </c>
    </row>
    <row r="29" spans="1:6" x14ac:dyDescent="0.2">
      <c r="A29" t="s">
        <v>7</v>
      </c>
      <c r="B29">
        <v>1</v>
      </c>
      <c r="C29">
        <v>65</v>
      </c>
    </row>
    <row r="30" spans="1:6" x14ac:dyDescent="0.2">
      <c r="A30" t="s">
        <v>7</v>
      </c>
      <c r="B30">
        <v>1</v>
      </c>
      <c r="C30">
        <v>75</v>
      </c>
    </row>
    <row r="31" spans="1:6" x14ac:dyDescent="0.2">
      <c r="A31" t="s">
        <v>7</v>
      </c>
      <c r="B31">
        <v>1</v>
      </c>
      <c r="C31">
        <v>85</v>
      </c>
    </row>
    <row r="32" spans="1:6" x14ac:dyDescent="0.2">
      <c r="A32" t="s">
        <v>7</v>
      </c>
      <c r="B32">
        <v>2</v>
      </c>
      <c r="C32">
        <v>0</v>
      </c>
    </row>
    <row r="33" spans="1:3" x14ac:dyDescent="0.2">
      <c r="A33" t="s">
        <v>7</v>
      </c>
      <c r="B33">
        <v>2</v>
      </c>
      <c r="C33">
        <v>5</v>
      </c>
    </row>
    <row r="34" spans="1:3" x14ac:dyDescent="0.2">
      <c r="A34" t="s">
        <v>7</v>
      </c>
      <c r="B34">
        <v>2</v>
      </c>
      <c r="C34">
        <v>15</v>
      </c>
    </row>
    <row r="35" spans="1:3" x14ac:dyDescent="0.2">
      <c r="A35" t="s">
        <v>7</v>
      </c>
      <c r="B35">
        <v>2</v>
      </c>
      <c r="C35">
        <v>25</v>
      </c>
    </row>
    <row r="36" spans="1:3" x14ac:dyDescent="0.2">
      <c r="A36" t="s">
        <v>7</v>
      </c>
      <c r="B36">
        <v>2</v>
      </c>
      <c r="C36">
        <v>35</v>
      </c>
    </row>
    <row r="37" spans="1:3" x14ac:dyDescent="0.2">
      <c r="A37" t="s">
        <v>7</v>
      </c>
      <c r="B37">
        <v>2</v>
      </c>
      <c r="C37">
        <v>45</v>
      </c>
    </row>
    <row r="38" spans="1:3" x14ac:dyDescent="0.2">
      <c r="A38" t="s">
        <v>7</v>
      </c>
      <c r="B38">
        <v>2</v>
      </c>
      <c r="C38">
        <v>55</v>
      </c>
    </row>
    <row r="39" spans="1:3" x14ac:dyDescent="0.2">
      <c r="A39" t="s">
        <v>7</v>
      </c>
      <c r="B39">
        <v>2</v>
      </c>
      <c r="C39">
        <v>65</v>
      </c>
    </row>
    <row r="40" spans="1:3" x14ac:dyDescent="0.2">
      <c r="A40" t="s">
        <v>7</v>
      </c>
      <c r="B40">
        <v>2</v>
      </c>
      <c r="C40">
        <v>75</v>
      </c>
    </row>
    <row r="41" spans="1:3" x14ac:dyDescent="0.2">
      <c r="A41" t="s">
        <v>7</v>
      </c>
      <c r="B41">
        <v>2</v>
      </c>
      <c r="C41">
        <v>85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2019-03-21T10:34:25Z</dcterms:modified>
</cp:coreProperties>
</file>