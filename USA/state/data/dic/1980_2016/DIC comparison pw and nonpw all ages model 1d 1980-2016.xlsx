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miparks/git/mortality/USA/state/data/dic/1980_2016/"/>
    </mc:Choice>
  </mc:AlternateContent>
  <xr:revisionPtr revIDLastSave="0" documentId="13_ncr:1_{D60496D0-9FB2-014A-BBD7-5BACFCE36E8F}" xr6:coauthVersionLast="43" xr6:coauthVersionMax="43" xr10:uidLastSave="{00000000-0000-0000-0000-000000000000}"/>
  <bookViews>
    <workbookView xWindow="14260" yWindow="-27980" windowWidth="25260" windowHeight="20140" xr2:uid="{C5D6F9F6-4735-9542-B608-875F16A3F9A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F78" i="1" l="1"/>
  <c r="F75" i="1"/>
  <c r="F76" i="1"/>
  <c r="F77" i="1"/>
  <c r="F79" i="1"/>
  <c r="F80" i="1"/>
  <c r="F81" i="1"/>
  <c r="F65" i="1"/>
  <c r="F66" i="1"/>
  <c r="F67" i="1"/>
  <c r="F68" i="1"/>
  <c r="F69" i="1"/>
  <c r="F70" i="1"/>
  <c r="F71" i="1"/>
  <c r="F55" i="1"/>
  <c r="F56" i="1"/>
  <c r="F57" i="1"/>
  <c r="F58" i="1"/>
  <c r="F59" i="1"/>
  <c r="F60" i="1"/>
  <c r="F61" i="1"/>
  <c r="F46" i="1"/>
  <c r="F47" i="1"/>
  <c r="F48" i="1"/>
  <c r="F49" i="1"/>
  <c r="F50" i="1"/>
  <c r="F51" i="1"/>
  <c r="F45" i="1"/>
  <c r="F74" i="1"/>
  <c r="F53" i="1"/>
  <c r="F54" i="1"/>
  <c r="F64" i="1"/>
  <c r="F44" i="1"/>
  <c r="F73" i="1"/>
  <c r="F63" i="1"/>
  <c r="F43" i="1"/>
  <c r="F72" i="1"/>
  <c r="F62" i="1"/>
  <c r="F52" i="1"/>
  <c r="F42" i="1"/>
  <c r="F37" i="1" l="1"/>
  <c r="F36" i="1"/>
  <c r="F26" i="1"/>
  <c r="F35" i="1"/>
  <c r="F25" i="1"/>
  <c r="F34" i="1"/>
  <c r="F24" i="1"/>
  <c r="F23" i="1"/>
  <c r="F33" i="1"/>
  <c r="F32" i="1"/>
  <c r="F22" i="1"/>
  <c r="F27" i="1"/>
  <c r="F28" i="1"/>
  <c r="F38" i="1"/>
  <c r="F39" i="1"/>
  <c r="F29" i="1"/>
  <c r="F30" i="1" l="1"/>
  <c r="F31" i="1"/>
  <c r="F40" i="1" l="1"/>
  <c r="F41" i="1"/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" i="1"/>
</calcChain>
</file>

<file path=xl/sharedStrings.xml><?xml version="1.0" encoding="utf-8"?>
<sst xmlns="http://schemas.openxmlformats.org/spreadsheetml/2006/main" count="86" uniqueCount="10">
  <si>
    <t>Cause</t>
  </si>
  <si>
    <t>Sex</t>
  </si>
  <si>
    <t>Age</t>
  </si>
  <si>
    <t>DIC non-pw</t>
  </si>
  <si>
    <t>DIC pw</t>
  </si>
  <si>
    <t>External</t>
  </si>
  <si>
    <t>Lowest DIC</t>
  </si>
  <si>
    <t>Cardiorespiratory</t>
  </si>
  <si>
    <t>Cancer</t>
  </si>
  <si>
    <t>Other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</si>
</sst>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C297E7-6797-2342-9E80-1C39CEF8FE4F}">
  <dimension ref="A1:F81"/>
  <sheetViews>
    <sheetView tabSelected="1" workbookViewId="0">
      <selection activeCell="D68" sqref="D68"/>
    </sheetView>
  </sheetViews>
  <sheetFormatPr baseColWidth="10" defaultRowHeight="16" x14ac:dyDescent="0.2"/>
  <cols>
    <col min="1" max="1" width="15.1640625" bestFit="1" customWidth="1"/>
    <col min="6" max="6" width="10.33203125" bestFit="1" customWidth="1"/>
  </cols>
  <sheetData>
    <row r="1" spans="1:6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6</v>
      </c>
    </row>
    <row r="2" spans="1:6" x14ac:dyDescent="0.2">
      <c r="A2" t="s">
        <v>5</v>
      </c>
      <c r="B2">
        <v>1</v>
      </c>
      <c r="C2">
        <v>0</v>
      </c>
      <c r="D2">
        <v>77570.92</v>
      </c>
      <c r="E2">
        <v>75489.990000000005</v>
      </c>
      <c r="F2" s="2" t="str">
        <f>IF(D2&lt;E2,"non-pw","pw")</f>
        <v>pw</v>
      </c>
    </row>
    <row r="3" spans="1:6" x14ac:dyDescent="0.2">
      <c r="A3" t="s">
        <v>5</v>
      </c>
      <c r="B3">
        <v>1</v>
      </c>
      <c r="C3">
        <v>5</v>
      </c>
      <c r="D3">
        <v>77454</v>
      </c>
      <c r="E3">
        <v>77421.31</v>
      </c>
      <c r="F3" s="2" t="str">
        <f t="shared" ref="F3:F51" si="0">IF(D3&lt;E3,"non-pw","pw")</f>
        <v>pw</v>
      </c>
    </row>
    <row r="4" spans="1:6" x14ac:dyDescent="0.2">
      <c r="A4" t="s">
        <v>5</v>
      </c>
      <c r="B4">
        <v>1</v>
      </c>
      <c r="C4">
        <v>15</v>
      </c>
      <c r="D4">
        <v>108549.26</v>
      </c>
      <c r="E4">
        <v>108545.12</v>
      </c>
      <c r="F4" s="2" t="str">
        <f t="shared" si="0"/>
        <v>pw</v>
      </c>
    </row>
    <row r="5" spans="1:6" x14ac:dyDescent="0.2">
      <c r="A5" t="s">
        <v>5</v>
      </c>
      <c r="B5">
        <v>1</v>
      </c>
      <c r="C5">
        <v>25</v>
      </c>
      <c r="D5">
        <v>106856.38</v>
      </c>
      <c r="E5">
        <v>106856.64</v>
      </c>
      <c r="F5" t="str">
        <f t="shared" si="0"/>
        <v>non-pw</v>
      </c>
    </row>
    <row r="6" spans="1:6" x14ac:dyDescent="0.2">
      <c r="A6" t="s">
        <v>5</v>
      </c>
      <c r="B6">
        <v>1</v>
      </c>
      <c r="C6">
        <v>35</v>
      </c>
      <c r="D6">
        <v>103815.72</v>
      </c>
      <c r="E6">
        <v>103817.71</v>
      </c>
      <c r="F6" t="str">
        <f t="shared" si="0"/>
        <v>non-pw</v>
      </c>
    </row>
    <row r="7" spans="1:6" x14ac:dyDescent="0.2">
      <c r="A7" t="s">
        <v>5</v>
      </c>
      <c r="B7">
        <v>1</v>
      </c>
      <c r="C7">
        <v>45</v>
      </c>
      <c r="D7">
        <v>101178.1</v>
      </c>
      <c r="E7">
        <v>101178.96</v>
      </c>
      <c r="F7" t="str">
        <f t="shared" si="0"/>
        <v>non-pw</v>
      </c>
    </row>
    <row r="8" spans="1:6" x14ac:dyDescent="0.2">
      <c r="A8" t="s">
        <v>5</v>
      </c>
      <c r="B8">
        <v>1</v>
      </c>
      <c r="C8">
        <v>55</v>
      </c>
      <c r="D8">
        <v>96436.07</v>
      </c>
      <c r="E8">
        <v>96437.69</v>
      </c>
      <c r="F8" t="str">
        <f t="shared" si="0"/>
        <v>non-pw</v>
      </c>
    </row>
    <row r="9" spans="1:6" x14ac:dyDescent="0.2">
      <c r="A9" t="s">
        <v>5</v>
      </c>
      <c r="B9">
        <v>1</v>
      </c>
      <c r="C9">
        <v>65</v>
      </c>
      <c r="D9">
        <v>94039.11</v>
      </c>
      <c r="E9">
        <v>94043.63</v>
      </c>
      <c r="F9" t="str">
        <f t="shared" si="0"/>
        <v>non-pw</v>
      </c>
    </row>
    <row r="10" spans="1:6" x14ac:dyDescent="0.2">
      <c r="A10" t="s">
        <v>5</v>
      </c>
      <c r="B10">
        <v>1</v>
      </c>
      <c r="C10">
        <v>75</v>
      </c>
      <c r="D10">
        <v>94344.61</v>
      </c>
      <c r="E10">
        <v>94352.59</v>
      </c>
      <c r="F10" t="str">
        <f t="shared" si="0"/>
        <v>non-pw</v>
      </c>
    </row>
    <row r="11" spans="1:6" x14ac:dyDescent="0.2">
      <c r="A11" t="s">
        <v>5</v>
      </c>
      <c r="B11">
        <v>1</v>
      </c>
      <c r="C11">
        <v>85</v>
      </c>
      <c r="D11">
        <v>88751.11</v>
      </c>
      <c r="E11">
        <v>88754.08</v>
      </c>
      <c r="F11" t="str">
        <f t="shared" si="0"/>
        <v>non-pw</v>
      </c>
    </row>
    <row r="12" spans="1:6" x14ac:dyDescent="0.2">
      <c r="A12" t="s">
        <v>5</v>
      </c>
      <c r="B12">
        <v>2</v>
      </c>
      <c r="C12">
        <v>0</v>
      </c>
      <c r="D12">
        <v>69223.5</v>
      </c>
      <c r="E12">
        <v>69242.03</v>
      </c>
      <c r="F12" t="str">
        <f t="shared" si="0"/>
        <v>non-pw</v>
      </c>
    </row>
    <row r="13" spans="1:6" x14ac:dyDescent="0.2">
      <c r="A13" t="s">
        <v>5</v>
      </c>
      <c r="B13">
        <v>2</v>
      </c>
      <c r="C13">
        <v>5</v>
      </c>
      <c r="D13">
        <v>67177.66</v>
      </c>
      <c r="E13">
        <v>67206.14</v>
      </c>
      <c r="F13" t="str">
        <f t="shared" si="0"/>
        <v>non-pw</v>
      </c>
    </row>
    <row r="14" spans="1:6" x14ac:dyDescent="0.2">
      <c r="A14" t="s">
        <v>5</v>
      </c>
      <c r="B14">
        <v>2</v>
      </c>
      <c r="C14">
        <v>15</v>
      </c>
      <c r="D14">
        <v>90455.09</v>
      </c>
      <c r="E14">
        <v>90461.759999999995</v>
      </c>
      <c r="F14" t="str">
        <f t="shared" si="0"/>
        <v>non-pw</v>
      </c>
    </row>
    <row r="15" spans="1:6" x14ac:dyDescent="0.2">
      <c r="A15" t="s">
        <v>5</v>
      </c>
      <c r="B15">
        <v>2</v>
      </c>
      <c r="C15">
        <v>25</v>
      </c>
      <c r="D15">
        <v>89648.6</v>
      </c>
      <c r="E15">
        <v>89656.19</v>
      </c>
      <c r="F15" t="str">
        <f t="shared" si="0"/>
        <v>non-pw</v>
      </c>
    </row>
    <row r="16" spans="1:6" x14ac:dyDescent="0.2">
      <c r="A16" t="s">
        <v>5</v>
      </c>
      <c r="B16">
        <v>2</v>
      </c>
      <c r="C16">
        <v>35</v>
      </c>
      <c r="D16">
        <v>89393.78</v>
      </c>
      <c r="E16">
        <v>89401.36</v>
      </c>
      <c r="F16" t="str">
        <f t="shared" si="0"/>
        <v>non-pw</v>
      </c>
    </row>
    <row r="17" spans="1:6" x14ac:dyDescent="0.2">
      <c r="A17" t="s">
        <v>5</v>
      </c>
      <c r="B17">
        <v>2</v>
      </c>
      <c r="C17">
        <v>45</v>
      </c>
      <c r="D17">
        <v>87930.96</v>
      </c>
      <c r="E17">
        <v>87932.18</v>
      </c>
      <c r="F17" t="str">
        <f t="shared" si="0"/>
        <v>non-pw</v>
      </c>
    </row>
    <row r="18" spans="1:6" x14ac:dyDescent="0.2">
      <c r="A18" t="s">
        <v>5</v>
      </c>
      <c r="B18">
        <v>2</v>
      </c>
      <c r="C18">
        <v>55</v>
      </c>
      <c r="D18">
        <v>85391.31</v>
      </c>
      <c r="E18">
        <v>85398.73</v>
      </c>
      <c r="F18" t="str">
        <f t="shared" si="0"/>
        <v>non-pw</v>
      </c>
    </row>
    <row r="19" spans="1:6" x14ac:dyDescent="0.2">
      <c r="A19" t="s">
        <v>5</v>
      </c>
      <c r="B19">
        <v>2</v>
      </c>
      <c r="C19">
        <v>65</v>
      </c>
      <c r="D19">
        <v>85761.37</v>
      </c>
      <c r="E19">
        <v>85768.77</v>
      </c>
      <c r="F19" t="str">
        <f t="shared" si="0"/>
        <v>non-pw</v>
      </c>
    </row>
    <row r="20" spans="1:6" x14ac:dyDescent="0.2">
      <c r="A20" t="s">
        <v>5</v>
      </c>
      <c r="B20">
        <v>2</v>
      </c>
      <c r="C20">
        <v>75</v>
      </c>
      <c r="D20">
        <v>91521.7</v>
      </c>
      <c r="E20">
        <v>91525.15</v>
      </c>
      <c r="F20" t="str">
        <f t="shared" si="0"/>
        <v>non-pw</v>
      </c>
    </row>
    <row r="21" spans="1:6" x14ac:dyDescent="0.2">
      <c r="A21" t="s">
        <v>5</v>
      </c>
      <c r="B21">
        <v>2</v>
      </c>
      <c r="C21">
        <v>85</v>
      </c>
      <c r="D21">
        <v>93508.68</v>
      </c>
      <c r="E21">
        <v>93512.31</v>
      </c>
      <c r="F21" t="str">
        <f t="shared" si="0"/>
        <v>non-pw</v>
      </c>
    </row>
    <row r="22" spans="1:6" x14ac:dyDescent="0.2">
      <c r="A22" t="s">
        <v>7</v>
      </c>
      <c r="B22">
        <v>1</v>
      </c>
      <c r="C22">
        <v>0</v>
      </c>
      <c r="D22">
        <v>63945.599999999999</v>
      </c>
      <c r="E22">
        <v>63966.17</v>
      </c>
      <c r="F22" t="str">
        <f t="shared" si="0"/>
        <v>non-pw</v>
      </c>
    </row>
    <row r="23" spans="1:6" x14ac:dyDescent="0.2">
      <c r="A23" t="s">
        <v>7</v>
      </c>
      <c r="B23">
        <v>1</v>
      </c>
      <c r="C23">
        <v>5</v>
      </c>
      <c r="D23">
        <v>42130.61</v>
      </c>
      <c r="E23">
        <v>42182.61</v>
      </c>
      <c r="F23" t="str">
        <f t="shared" si="0"/>
        <v>non-pw</v>
      </c>
    </row>
    <row r="24" spans="1:6" x14ac:dyDescent="0.2">
      <c r="A24" t="s">
        <v>7</v>
      </c>
      <c r="B24">
        <v>1</v>
      </c>
      <c r="C24">
        <v>15</v>
      </c>
      <c r="D24">
        <v>62718.47</v>
      </c>
      <c r="E24">
        <v>62747.09</v>
      </c>
      <c r="F24" t="str">
        <f t="shared" si="0"/>
        <v>non-pw</v>
      </c>
    </row>
    <row r="25" spans="1:6" x14ac:dyDescent="0.2">
      <c r="A25" t="s">
        <v>7</v>
      </c>
      <c r="B25">
        <v>1</v>
      </c>
      <c r="C25">
        <v>25</v>
      </c>
      <c r="D25">
        <v>80828.84</v>
      </c>
      <c r="E25">
        <v>80837.02</v>
      </c>
      <c r="F25" t="str">
        <f t="shared" si="0"/>
        <v>non-pw</v>
      </c>
    </row>
    <row r="26" spans="1:6" x14ac:dyDescent="0.2">
      <c r="A26" t="s">
        <v>7</v>
      </c>
      <c r="B26">
        <v>1</v>
      </c>
      <c r="C26">
        <v>35</v>
      </c>
      <c r="D26">
        <v>92495.22</v>
      </c>
      <c r="E26">
        <v>97194.71</v>
      </c>
      <c r="F26" t="str">
        <f t="shared" si="0"/>
        <v>non-pw</v>
      </c>
    </row>
    <row r="27" spans="1:6" x14ac:dyDescent="0.2">
      <c r="A27" t="s">
        <v>7</v>
      </c>
      <c r="B27">
        <v>1</v>
      </c>
      <c r="C27">
        <v>45</v>
      </c>
      <c r="D27">
        <v>111180.4</v>
      </c>
      <c r="E27">
        <v>111186.12</v>
      </c>
      <c r="F27" t="str">
        <f t="shared" si="0"/>
        <v>non-pw</v>
      </c>
    </row>
    <row r="28" spans="1:6" x14ac:dyDescent="0.2">
      <c r="A28" t="s">
        <v>7</v>
      </c>
      <c r="B28">
        <v>1</v>
      </c>
      <c r="C28">
        <v>55</v>
      </c>
      <c r="D28">
        <v>120523.83</v>
      </c>
      <c r="E28">
        <v>120528.28</v>
      </c>
      <c r="F28" t="str">
        <f t="shared" si="0"/>
        <v>non-pw</v>
      </c>
    </row>
    <row r="29" spans="1:6" x14ac:dyDescent="0.2">
      <c r="A29" t="s">
        <v>7</v>
      </c>
      <c r="B29">
        <v>1</v>
      </c>
      <c r="C29">
        <v>65</v>
      </c>
      <c r="D29">
        <v>129515.48</v>
      </c>
      <c r="E29">
        <v>129516.42</v>
      </c>
      <c r="F29" t="str">
        <f t="shared" si="0"/>
        <v>non-pw</v>
      </c>
    </row>
    <row r="30" spans="1:6" x14ac:dyDescent="0.2">
      <c r="A30" t="s">
        <v>7</v>
      </c>
      <c r="B30">
        <v>1</v>
      </c>
      <c r="C30">
        <v>75</v>
      </c>
      <c r="D30">
        <v>134331.96</v>
      </c>
      <c r="E30">
        <v>134337.22</v>
      </c>
      <c r="F30" t="str">
        <f t="shared" si="0"/>
        <v>non-pw</v>
      </c>
    </row>
    <row r="31" spans="1:6" x14ac:dyDescent="0.2">
      <c r="A31" t="s">
        <v>7</v>
      </c>
      <c r="B31">
        <v>1</v>
      </c>
      <c r="C31">
        <v>85</v>
      </c>
      <c r="D31">
        <v>130685.02</v>
      </c>
      <c r="E31">
        <v>130688.02</v>
      </c>
      <c r="F31" t="str">
        <f t="shared" si="0"/>
        <v>non-pw</v>
      </c>
    </row>
    <row r="32" spans="1:6" x14ac:dyDescent="0.2">
      <c r="A32" t="s">
        <v>7</v>
      </c>
      <c r="B32">
        <v>2</v>
      </c>
      <c r="C32">
        <v>0</v>
      </c>
      <c r="D32">
        <v>58907.43</v>
      </c>
      <c r="E32">
        <v>58938.53</v>
      </c>
      <c r="F32" t="str">
        <f t="shared" si="0"/>
        <v>non-pw</v>
      </c>
    </row>
    <row r="33" spans="1:6" x14ac:dyDescent="0.2">
      <c r="A33" t="s">
        <v>7</v>
      </c>
      <c r="B33">
        <v>2</v>
      </c>
      <c r="C33">
        <v>5</v>
      </c>
      <c r="D33">
        <v>39179.06</v>
      </c>
      <c r="E33">
        <v>39243.29</v>
      </c>
      <c r="F33" t="str">
        <f t="shared" si="0"/>
        <v>non-pw</v>
      </c>
    </row>
    <row r="34" spans="1:6" x14ac:dyDescent="0.2">
      <c r="A34" t="s">
        <v>7</v>
      </c>
      <c r="B34">
        <v>2</v>
      </c>
      <c r="C34">
        <v>15</v>
      </c>
      <c r="D34">
        <v>54606.62</v>
      </c>
      <c r="E34">
        <v>54649.68</v>
      </c>
      <c r="F34" t="str">
        <f t="shared" si="0"/>
        <v>non-pw</v>
      </c>
    </row>
    <row r="35" spans="1:6" x14ac:dyDescent="0.2">
      <c r="A35" t="s">
        <v>7</v>
      </c>
      <c r="B35">
        <v>2</v>
      </c>
      <c r="C35">
        <v>25</v>
      </c>
      <c r="D35">
        <v>72384.149999999994</v>
      </c>
      <c r="E35">
        <v>72406.03</v>
      </c>
      <c r="F35" t="str">
        <f t="shared" si="0"/>
        <v>non-pw</v>
      </c>
    </row>
    <row r="36" spans="1:6" x14ac:dyDescent="0.2">
      <c r="A36" t="s">
        <v>7</v>
      </c>
      <c r="B36">
        <v>2</v>
      </c>
      <c r="C36">
        <v>35</v>
      </c>
      <c r="D36">
        <v>87411.34</v>
      </c>
      <c r="E36">
        <v>87417.69</v>
      </c>
      <c r="F36" t="str">
        <f t="shared" si="0"/>
        <v>non-pw</v>
      </c>
    </row>
    <row r="37" spans="1:6" x14ac:dyDescent="0.2">
      <c r="A37" t="s">
        <v>7</v>
      </c>
      <c r="B37">
        <v>2</v>
      </c>
      <c r="C37">
        <v>45</v>
      </c>
      <c r="D37">
        <v>100974.23</v>
      </c>
      <c r="E37">
        <v>100980</v>
      </c>
      <c r="F37" t="str">
        <f t="shared" si="0"/>
        <v>non-pw</v>
      </c>
    </row>
    <row r="38" spans="1:6" x14ac:dyDescent="0.2">
      <c r="A38" t="s">
        <v>7</v>
      </c>
      <c r="B38">
        <v>2</v>
      </c>
      <c r="C38">
        <v>55</v>
      </c>
      <c r="D38">
        <v>113458.35</v>
      </c>
      <c r="E38">
        <v>113463.93</v>
      </c>
      <c r="F38" t="str">
        <f t="shared" si="0"/>
        <v>non-pw</v>
      </c>
    </row>
    <row r="39" spans="1:6" x14ac:dyDescent="0.2">
      <c r="A39" t="s">
        <v>7</v>
      </c>
      <c r="B39">
        <v>2</v>
      </c>
      <c r="C39">
        <v>65</v>
      </c>
      <c r="D39">
        <v>123525.49</v>
      </c>
      <c r="E39">
        <v>123530.41</v>
      </c>
      <c r="F39" t="str">
        <f t="shared" si="0"/>
        <v>non-pw</v>
      </c>
    </row>
    <row r="40" spans="1:6" x14ac:dyDescent="0.2">
      <c r="A40" t="s">
        <v>7</v>
      </c>
      <c r="B40">
        <v>2</v>
      </c>
      <c r="C40">
        <v>75</v>
      </c>
      <c r="D40">
        <v>135122.01</v>
      </c>
      <c r="E40">
        <v>135126.31</v>
      </c>
      <c r="F40" t="str">
        <f t="shared" si="0"/>
        <v>non-pw</v>
      </c>
    </row>
    <row r="41" spans="1:6" x14ac:dyDescent="0.2">
      <c r="A41" t="s">
        <v>7</v>
      </c>
      <c r="B41">
        <v>2</v>
      </c>
      <c r="C41">
        <v>85</v>
      </c>
      <c r="D41">
        <v>142448.32999999999</v>
      </c>
      <c r="E41">
        <v>142452.98000000001</v>
      </c>
      <c r="F41" t="str">
        <f t="shared" si="0"/>
        <v>non-pw</v>
      </c>
    </row>
    <row r="42" spans="1:6" x14ac:dyDescent="0.2">
      <c r="A42" t="s">
        <v>8</v>
      </c>
      <c r="B42">
        <v>1</v>
      </c>
      <c r="C42">
        <v>0</v>
      </c>
      <c r="D42">
        <v>40074.089999999997</v>
      </c>
      <c r="E42">
        <v>40123.26</v>
      </c>
      <c r="F42" t="str">
        <f t="shared" si="0"/>
        <v>non-pw</v>
      </c>
    </row>
    <row r="43" spans="1:6" x14ac:dyDescent="0.2">
      <c r="A43" t="s">
        <v>8</v>
      </c>
      <c r="B43">
        <v>1</v>
      </c>
      <c r="C43">
        <v>5</v>
      </c>
      <c r="D43">
        <v>50570.67</v>
      </c>
      <c r="E43">
        <v>50611.64</v>
      </c>
      <c r="F43" t="str">
        <f t="shared" si="0"/>
        <v>non-pw</v>
      </c>
    </row>
    <row r="44" spans="1:6" x14ac:dyDescent="0.2">
      <c r="A44" t="s">
        <v>8</v>
      </c>
      <c r="B44">
        <v>1</v>
      </c>
      <c r="C44">
        <v>15</v>
      </c>
      <c r="D44">
        <v>61167.15</v>
      </c>
      <c r="E44">
        <v>61198.97</v>
      </c>
      <c r="F44" t="str">
        <f t="shared" si="0"/>
        <v>non-pw</v>
      </c>
    </row>
    <row r="45" spans="1:6" x14ac:dyDescent="0.2">
      <c r="A45" t="s">
        <v>8</v>
      </c>
      <c r="B45">
        <v>1</v>
      </c>
      <c r="C45">
        <v>25</v>
      </c>
      <c r="D45">
        <v>74089.440000000002</v>
      </c>
      <c r="E45">
        <v>74108.05</v>
      </c>
      <c r="F45" t="str">
        <f t="shared" si="0"/>
        <v>non-pw</v>
      </c>
    </row>
    <row r="46" spans="1:6" x14ac:dyDescent="0.2">
      <c r="A46" t="s">
        <v>8</v>
      </c>
      <c r="B46">
        <v>1</v>
      </c>
      <c r="C46">
        <v>35</v>
      </c>
      <c r="D46">
        <v>89597.57</v>
      </c>
      <c r="E46">
        <v>89601.8</v>
      </c>
      <c r="F46" t="str">
        <f t="shared" si="0"/>
        <v>non-pw</v>
      </c>
    </row>
    <row r="47" spans="1:6" x14ac:dyDescent="0.2">
      <c r="A47" t="s">
        <v>8</v>
      </c>
      <c r="B47">
        <v>1</v>
      </c>
      <c r="C47">
        <v>45</v>
      </c>
      <c r="D47">
        <v>105711.28</v>
      </c>
      <c r="E47">
        <v>105715.05</v>
      </c>
      <c r="F47" t="str">
        <f t="shared" si="0"/>
        <v>non-pw</v>
      </c>
    </row>
    <row r="48" spans="1:6" x14ac:dyDescent="0.2">
      <c r="A48" t="s">
        <v>8</v>
      </c>
      <c r="B48">
        <v>1</v>
      </c>
      <c r="C48">
        <v>55</v>
      </c>
      <c r="D48">
        <v>116639.36</v>
      </c>
      <c r="E48">
        <v>116644.74</v>
      </c>
      <c r="F48" t="str">
        <f t="shared" si="0"/>
        <v>non-pw</v>
      </c>
    </row>
    <row r="49" spans="1:6" s="2" customFormat="1" x14ac:dyDescent="0.2">
      <c r="A49" s="2" t="s">
        <v>8</v>
      </c>
      <c r="B49" s="2">
        <v>1</v>
      </c>
      <c r="C49" s="2">
        <v>65</v>
      </c>
      <c r="D49" s="2">
        <v>122609.21</v>
      </c>
      <c r="E49" s="2">
        <v>122604.31</v>
      </c>
      <c r="F49" s="2" t="str">
        <f t="shared" si="0"/>
        <v>pw</v>
      </c>
    </row>
    <row r="50" spans="1:6" x14ac:dyDescent="0.2">
      <c r="A50" t="s">
        <v>8</v>
      </c>
      <c r="B50">
        <v>1</v>
      </c>
      <c r="C50">
        <v>75</v>
      </c>
      <c r="D50">
        <v>121169.65</v>
      </c>
      <c r="E50">
        <v>121173.85</v>
      </c>
      <c r="F50" t="str">
        <f t="shared" si="0"/>
        <v>non-pw</v>
      </c>
    </row>
    <row r="51" spans="1:6" x14ac:dyDescent="0.2">
      <c r="A51" t="s">
        <v>8</v>
      </c>
      <c r="B51">
        <v>1</v>
      </c>
      <c r="C51">
        <v>85</v>
      </c>
      <c r="D51">
        <v>109826.56</v>
      </c>
      <c r="E51">
        <v>109829.04</v>
      </c>
      <c r="F51" t="str">
        <f t="shared" si="0"/>
        <v>non-pw</v>
      </c>
    </row>
    <row r="52" spans="1:6" x14ac:dyDescent="0.2">
      <c r="A52" t="s">
        <v>8</v>
      </c>
      <c r="B52">
        <v>2</v>
      </c>
      <c r="C52">
        <v>0</v>
      </c>
      <c r="D52">
        <v>37569.08</v>
      </c>
      <c r="E52">
        <v>37620.720000000001</v>
      </c>
      <c r="F52" t="str">
        <f>IF(D52&lt;E52,"non-pw","pw")</f>
        <v>non-pw</v>
      </c>
    </row>
    <row r="53" spans="1:6" x14ac:dyDescent="0.2">
      <c r="A53" t="s">
        <v>8</v>
      </c>
      <c r="B53">
        <v>2</v>
      </c>
      <c r="C53">
        <v>5</v>
      </c>
      <c r="D53">
        <v>46336.72</v>
      </c>
      <c r="E53">
        <v>46376.97</v>
      </c>
      <c r="F53" t="str">
        <f>IF(D53&lt;E53,"non-pw","pw")</f>
        <v>non-pw</v>
      </c>
    </row>
    <row r="54" spans="1:6" x14ac:dyDescent="0.2">
      <c r="A54" t="s">
        <v>8</v>
      </c>
      <c r="B54">
        <v>2</v>
      </c>
      <c r="C54">
        <v>15</v>
      </c>
      <c r="D54">
        <v>54121.55</v>
      </c>
      <c r="E54">
        <v>54162.94</v>
      </c>
      <c r="F54" t="str">
        <f>IF(D54&lt;E54,"non-pw","pw")</f>
        <v>non-pw</v>
      </c>
    </row>
    <row r="55" spans="1:6" x14ac:dyDescent="0.2">
      <c r="A55" t="s">
        <v>8</v>
      </c>
      <c r="B55">
        <v>2</v>
      </c>
      <c r="C55">
        <v>25</v>
      </c>
      <c r="D55">
        <v>73964.990000000005</v>
      </c>
      <c r="E55">
        <v>73984.929999999993</v>
      </c>
      <c r="F55" s="2" t="str">
        <f t="shared" ref="F55:F61" si="1">IF(D55&lt;E55,"non-pw","pw")</f>
        <v>non-pw</v>
      </c>
    </row>
    <row r="56" spans="1:6" x14ac:dyDescent="0.2">
      <c r="A56" t="s">
        <v>8</v>
      </c>
      <c r="B56">
        <v>2</v>
      </c>
      <c r="C56">
        <v>35</v>
      </c>
      <c r="D56">
        <v>92500.22</v>
      </c>
      <c r="E56">
        <v>92509.64</v>
      </c>
      <c r="F56" t="str">
        <f t="shared" si="1"/>
        <v>non-pw</v>
      </c>
    </row>
    <row r="57" spans="1:6" x14ac:dyDescent="0.2">
      <c r="A57" t="s">
        <v>8</v>
      </c>
      <c r="B57">
        <v>2</v>
      </c>
      <c r="C57">
        <v>45</v>
      </c>
      <c r="D57">
        <v>105920.75</v>
      </c>
      <c r="E57">
        <v>105923.26</v>
      </c>
      <c r="F57" t="str">
        <f t="shared" si="1"/>
        <v>non-pw</v>
      </c>
    </row>
    <row r="58" spans="1:6" x14ac:dyDescent="0.2">
      <c r="A58" t="s">
        <v>8</v>
      </c>
      <c r="B58">
        <v>2</v>
      </c>
      <c r="C58">
        <v>55</v>
      </c>
      <c r="D58">
        <v>114090.65</v>
      </c>
      <c r="E58">
        <v>114092.35</v>
      </c>
      <c r="F58" t="str">
        <f t="shared" si="1"/>
        <v>non-pw</v>
      </c>
    </row>
    <row r="59" spans="1:6" x14ac:dyDescent="0.2">
      <c r="A59" t="s">
        <v>8</v>
      </c>
      <c r="B59">
        <v>2</v>
      </c>
      <c r="C59">
        <v>65</v>
      </c>
      <c r="D59">
        <v>118572.84</v>
      </c>
      <c r="E59">
        <v>118578.54</v>
      </c>
      <c r="F59" t="str">
        <f t="shared" si="1"/>
        <v>non-pw</v>
      </c>
    </row>
    <row r="60" spans="1:6" x14ac:dyDescent="0.2">
      <c r="A60" t="s">
        <v>8</v>
      </c>
      <c r="B60">
        <v>2</v>
      </c>
      <c r="C60">
        <v>75</v>
      </c>
      <c r="D60">
        <v>119371.11</v>
      </c>
      <c r="E60">
        <v>119371.32</v>
      </c>
      <c r="F60" t="str">
        <f t="shared" si="1"/>
        <v>non-pw</v>
      </c>
    </row>
    <row r="61" spans="1:6" x14ac:dyDescent="0.2">
      <c r="A61" t="s">
        <v>8</v>
      </c>
      <c r="B61">
        <v>2</v>
      </c>
      <c r="C61">
        <v>85</v>
      </c>
      <c r="D61">
        <v>113085.42</v>
      </c>
      <c r="E61">
        <v>113089.86</v>
      </c>
      <c r="F61" t="str">
        <f t="shared" si="1"/>
        <v>non-pw</v>
      </c>
    </row>
    <row r="62" spans="1:6" x14ac:dyDescent="0.2">
      <c r="A62" t="s">
        <v>9</v>
      </c>
      <c r="B62">
        <v>1</v>
      </c>
      <c r="C62">
        <v>0</v>
      </c>
      <c r="D62">
        <v>103212.09</v>
      </c>
      <c r="E62">
        <v>103211.51</v>
      </c>
      <c r="F62" s="2" t="str">
        <f>IF(D62&lt;E62,"non-pw","pw")</f>
        <v>pw</v>
      </c>
    </row>
    <row r="63" spans="1:6" x14ac:dyDescent="0.2">
      <c r="A63" t="s">
        <v>9</v>
      </c>
      <c r="B63">
        <v>1</v>
      </c>
      <c r="C63">
        <v>5</v>
      </c>
      <c r="D63">
        <v>59794.18</v>
      </c>
      <c r="E63">
        <v>59823.5</v>
      </c>
      <c r="F63" t="str">
        <f>IF(D63&lt;E63,"non-pw","pw")</f>
        <v>non-pw</v>
      </c>
    </row>
    <row r="64" spans="1:6" x14ac:dyDescent="0.2">
      <c r="A64" t="s">
        <v>9</v>
      </c>
      <c r="B64">
        <v>1</v>
      </c>
      <c r="C64">
        <v>15</v>
      </c>
      <c r="D64">
        <v>79591.63</v>
      </c>
      <c r="E64">
        <v>79600.39</v>
      </c>
      <c r="F64" t="str">
        <f>IF(D64&lt;E64,"non-pw","pw")</f>
        <v>non-pw</v>
      </c>
    </row>
    <row r="65" spans="1:6" x14ac:dyDescent="0.2">
      <c r="A65" t="s">
        <v>9</v>
      </c>
      <c r="B65">
        <v>1</v>
      </c>
      <c r="C65">
        <v>25</v>
      </c>
      <c r="D65">
        <v>94945.75</v>
      </c>
      <c r="E65">
        <v>94951.73</v>
      </c>
      <c r="F65" t="str">
        <f t="shared" ref="F65:F71" si="2">IF(D65&lt;E65,"non-pw","pw")</f>
        <v>non-pw</v>
      </c>
    </row>
    <row r="66" spans="1:6" x14ac:dyDescent="0.2">
      <c r="A66" t="s">
        <v>9</v>
      </c>
      <c r="B66">
        <v>1</v>
      </c>
      <c r="C66">
        <v>35</v>
      </c>
      <c r="D66">
        <v>103782.15</v>
      </c>
      <c r="E66">
        <v>103783.64</v>
      </c>
      <c r="F66" t="str">
        <f t="shared" si="2"/>
        <v>non-pw</v>
      </c>
    </row>
    <row r="67" spans="1:6" x14ac:dyDescent="0.2">
      <c r="A67" t="s">
        <v>9</v>
      </c>
      <c r="B67">
        <v>1</v>
      </c>
      <c r="C67">
        <v>45</v>
      </c>
      <c r="D67">
        <v>108589.73</v>
      </c>
      <c r="E67">
        <v>108590.33</v>
      </c>
      <c r="F67" t="str">
        <f t="shared" si="2"/>
        <v>non-pw</v>
      </c>
    </row>
    <row r="68" spans="1:6" x14ac:dyDescent="0.2">
      <c r="A68" t="s">
        <v>9</v>
      </c>
      <c r="B68">
        <v>1</v>
      </c>
      <c r="C68">
        <v>55</v>
      </c>
      <c r="D68">
        <v>110842.32</v>
      </c>
      <c r="E68">
        <v>110844.55</v>
      </c>
      <c r="F68" t="str">
        <f t="shared" si="2"/>
        <v>non-pw</v>
      </c>
    </row>
    <row r="69" spans="1:6" x14ac:dyDescent="0.2">
      <c r="A69" t="s">
        <v>9</v>
      </c>
      <c r="B69">
        <v>1</v>
      </c>
      <c r="C69">
        <v>65</v>
      </c>
      <c r="D69">
        <v>114563.07</v>
      </c>
      <c r="E69">
        <v>114653.3</v>
      </c>
      <c r="F69" t="str">
        <f t="shared" si="2"/>
        <v>non-pw</v>
      </c>
    </row>
    <row r="70" spans="1:6" x14ac:dyDescent="0.2">
      <c r="A70" t="s">
        <v>9</v>
      </c>
      <c r="B70">
        <v>1</v>
      </c>
      <c r="C70">
        <v>75</v>
      </c>
      <c r="D70">
        <v>119557.51</v>
      </c>
      <c r="E70">
        <v>119555.38</v>
      </c>
      <c r="F70" s="2" t="str">
        <f t="shared" si="2"/>
        <v>pw</v>
      </c>
    </row>
    <row r="71" spans="1:6" x14ac:dyDescent="0.2">
      <c r="A71" t="s">
        <v>9</v>
      </c>
      <c r="B71">
        <v>1</v>
      </c>
      <c r="C71">
        <v>85</v>
      </c>
      <c r="D71">
        <v>115629.33</v>
      </c>
      <c r="E71">
        <v>115631.18</v>
      </c>
      <c r="F71" t="str">
        <f t="shared" si="2"/>
        <v>non-pw</v>
      </c>
    </row>
    <row r="72" spans="1:6" x14ac:dyDescent="0.2">
      <c r="A72" t="s">
        <v>9</v>
      </c>
      <c r="B72">
        <v>2</v>
      </c>
      <c r="C72">
        <v>0</v>
      </c>
      <c r="D72">
        <v>99805.43</v>
      </c>
      <c r="E72">
        <v>99812.33</v>
      </c>
      <c r="F72" t="str">
        <f>IF(D72&lt;E72,"non-pw","pw")</f>
        <v>non-pw</v>
      </c>
    </row>
    <row r="73" spans="1:6" x14ac:dyDescent="0.2">
      <c r="A73" t="s">
        <v>9</v>
      </c>
      <c r="B73">
        <v>2</v>
      </c>
      <c r="C73">
        <v>5</v>
      </c>
      <c r="D73">
        <v>56041.63</v>
      </c>
      <c r="E73">
        <v>56081.27</v>
      </c>
      <c r="F73" t="str">
        <f>IF(D73&lt;E73,"non-pw","pw")</f>
        <v>non-pw</v>
      </c>
    </row>
    <row r="74" spans="1:6" x14ac:dyDescent="0.2">
      <c r="A74" t="s">
        <v>9</v>
      </c>
      <c r="B74">
        <v>2</v>
      </c>
      <c r="C74">
        <v>15</v>
      </c>
      <c r="D74">
        <v>71083</v>
      </c>
      <c r="E74">
        <v>71105.27</v>
      </c>
      <c r="F74" t="str">
        <f>IF(D74&lt;E74,"non-pw","pw")</f>
        <v>non-pw</v>
      </c>
    </row>
    <row r="75" spans="1:6" x14ac:dyDescent="0.2">
      <c r="A75" t="s">
        <v>9</v>
      </c>
      <c r="B75">
        <v>2</v>
      </c>
      <c r="C75">
        <v>25</v>
      </c>
      <c r="D75">
        <v>85262.65</v>
      </c>
      <c r="E75">
        <v>85273.279999999999</v>
      </c>
      <c r="F75" t="str">
        <f t="shared" ref="F75:F81" si="3">IF(D75&lt;E75,"non-pw","pw")</f>
        <v>non-pw</v>
      </c>
    </row>
    <row r="76" spans="1:6" x14ac:dyDescent="0.2">
      <c r="A76" t="s">
        <v>9</v>
      </c>
      <c r="B76">
        <v>2</v>
      </c>
      <c r="C76">
        <v>35</v>
      </c>
      <c r="D76">
        <v>93750.86</v>
      </c>
      <c r="E76">
        <v>93758.74</v>
      </c>
      <c r="F76" t="str">
        <f t="shared" si="3"/>
        <v>non-pw</v>
      </c>
    </row>
    <row r="77" spans="1:6" x14ac:dyDescent="0.2">
      <c r="A77" t="s">
        <v>9</v>
      </c>
      <c r="B77">
        <v>2</v>
      </c>
      <c r="C77">
        <v>45</v>
      </c>
      <c r="D77">
        <v>99584.22</v>
      </c>
      <c r="E77">
        <v>99587.36</v>
      </c>
      <c r="F77" t="str">
        <f t="shared" si="3"/>
        <v>non-pw</v>
      </c>
    </row>
    <row r="78" spans="1:6" s="2" customFormat="1" x14ac:dyDescent="0.2">
      <c r="A78" s="2" t="s">
        <v>9</v>
      </c>
      <c r="B78" s="2">
        <v>2</v>
      </c>
      <c r="C78" s="2">
        <v>55</v>
      </c>
      <c r="D78" s="2">
        <v>104878.05</v>
      </c>
      <c r="E78" s="2">
        <v>104877.87</v>
      </c>
      <c r="F78" s="2" t="str">
        <f>IF(D78&lt;E78,"non-pw","pw")</f>
        <v>pw</v>
      </c>
    </row>
    <row r="79" spans="1:6" x14ac:dyDescent="0.2">
      <c r="A79" t="s">
        <v>9</v>
      </c>
      <c r="B79">
        <v>2</v>
      </c>
      <c r="C79">
        <v>65</v>
      </c>
      <c r="D79">
        <v>113196.93</v>
      </c>
      <c r="E79">
        <v>113193.04</v>
      </c>
      <c r="F79" s="2" t="str">
        <f t="shared" si="3"/>
        <v>pw</v>
      </c>
    </row>
    <row r="80" spans="1:6" x14ac:dyDescent="0.2">
      <c r="A80" t="s">
        <v>9</v>
      </c>
      <c r="B80">
        <v>2</v>
      </c>
      <c r="C80">
        <v>75</v>
      </c>
      <c r="D80">
        <v>122033.14</v>
      </c>
      <c r="E80">
        <v>122039.2</v>
      </c>
      <c r="F80" t="str">
        <f t="shared" si="3"/>
        <v>non-pw</v>
      </c>
    </row>
    <row r="81" spans="1:6" x14ac:dyDescent="0.2">
      <c r="A81" t="s">
        <v>9</v>
      </c>
      <c r="B81">
        <v>2</v>
      </c>
      <c r="C81">
        <v>85</v>
      </c>
      <c r="D81">
        <v>128520.22</v>
      </c>
      <c r="E81">
        <v>128524.73</v>
      </c>
      <c r="F81" t="str">
        <f t="shared" si="3"/>
        <v>non-pw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Robbie Parks</dc:creator>
  <cp:lastModifiedBy>Robbie Parks</cp:lastModifiedBy>
  <dcterms:created xsi:type="dcterms:W3CDTF">2019-03-20T14:51:32Z</dcterms:created>
  <dcterms:modified xsi:type="dcterms:W3CDTF">2019-04-10T20:16:34Z</dcterms:modified>
</cp:coreProperties>
</file>