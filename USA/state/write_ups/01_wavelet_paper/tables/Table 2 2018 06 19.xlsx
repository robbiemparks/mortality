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tables/"/>
    </mc:Choice>
  </mc:AlternateContent>
  <bookViews>
    <workbookView xWindow="-3340" yWindow="-19780" windowWidth="29840" windowHeight="1822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<sst xmlns="http://schemas.openxmlformats.org/spreadsheetml/2006/main" count="24" uniqueCount="24">
  <si>
    <t>Climate region</t>
  </si>
  <si>
    <t>Population (2016)</t>
  </si>
  <si>
    <t>Poverty rates etc?</t>
  </si>
  <si>
    <t>Central</t>
  </si>
  <si>
    <t>East North Central</t>
  </si>
  <si>
    <t>Northeast</t>
  </si>
  <si>
    <t>Northwest</t>
  </si>
  <si>
    <t>Southeast</t>
  </si>
  <si>
    <t>Southwest</t>
  </si>
  <si>
    <t>West</t>
  </si>
  <si>
    <t>West North Central</t>
  </si>
  <si>
    <t>South</t>
  </si>
  <si>
    <t>Mean annual temperature (1980-2016) (°C)</t>
  </si>
  <si>
    <t>Illinois, Indiana, Kentucky, Missouri, Ohio, Tennessee, West Virginia</t>
  </si>
  <si>
    <t>Iowa, Michigan, Minnesota, Wisconsin</t>
  </si>
  <si>
    <t>Connecticut, Delaware, Maine, Maryland, Massachusetts, New Hampshire, New Jersey, New York, Pennsylvania, Rhode Island, Vermont</t>
  </si>
  <si>
    <t>Arkansas, Kansas, Louisiana, Mississippi, Oklahoma, Texas</t>
  </si>
  <si>
    <t>Alabama, Florida, Georgia, North Carolina, South Carolina, Virginia</t>
  </si>
  <si>
    <t>Arizona, Colorado, New Mexico, Utah</t>
  </si>
  <si>
    <t>Montana, Nebraska, North Dakota, South Dakota, Wyoming</t>
  </si>
  <si>
    <t>Constituent states</t>
  </si>
  <si>
    <t>Alaska, Idaho, Oregon, Washington</t>
  </si>
  <si>
    <t>California, Hawaii, Nevada</t>
  </si>
  <si>
    <t>Percentage of land mass of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</si>
</sst>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0" fillId="0" borderId="1" xfId="0" applyBorder="1"/>
    <xf numFmtId="3" fontId="1" fillId="0" borderId="1" xfId="0" applyNumberFormat="1" applyFont="1" applyBorder="1" applyAlignment="1">
      <alignment horizontal="justify" vertical="center" wrapText="1"/>
    </xf>
    <xf numFmtId="3" fontId="0" fillId="0" borderId="1" xfId="0" applyNumberFormat="1" applyBorder="1"/>
    <xf numFmtId="3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showRuler="0" workbookViewId="0">
      <selection activeCell="E1" sqref="E1"/>
    </sheetView>
  </sheetViews>
  <sheetFormatPr baseColWidth="10" defaultColWidth="15.5" defaultRowHeight="16" x14ac:dyDescent="0.2"/>
  <cols>
    <col min="1" max="1" width="16.83203125" bestFit="1" customWidth="1"/>
    <col min="2" max="2" width="26.1640625" style="7" customWidth="1"/>
    <col min="3" max="3" width="14.6640625" style="5" bestFit="1" customWidth="1"/>
    <col min="8" max="8" width="16.83203125" style="8" bestFit="1" customWidth="1"/>
  </cols>
  <sheetData>
    <row r="1" spans="1:8" ht="61" customHeight="1" x14ac:dyDescent="0.2">
      <c r="A1" s="1" t="s">
        <v>0</v>
      </c>
      <c r="B1" s="1" t="s">
        <v>20</v>
      </c>
      <c r="C1" s="3" t="s">
        <v>1</v>
      </c>
      <c r="D1" s="1" t="s">
        <v>23</v>
      </c>
      <c r="E1" s="1" t="s">
        <v>12</v>
      </c>
      <c r="F1" s="1" t="s">
        <v>2</v>
      </c>
    </row>
    <row r="2" spans="1:8" ht="46" customHeight="1" x14ac:dyDescent="0.2">
      <c r="A2" s="2" t="s">
        <v>3</v>
      </c>
      <c r="B2" s="6" t="s">
        <v>13</v>
      </c>
      <c r="C2" s="4">
        <v>50191326</v>
      </c>
      <c r="D2" s="2">
        <v>10.27</v>
      </c>
      <c r="E2" s="2">
        <v>11.6</v>
      </c>
      <c r="F2" s="2"/>
      <c r="H2" s="8">
        <f>C2/$H$11</f>
        <v>0.15505295758884766</v>
      </c>
    </row>
    <row r="3" spans="1:8" ht="32" x14ac:dyDescent="0.2">
      <c r="A3" s="2" t="s">
        <v>4</v>
      </c>
      <c r="B3" s="6" t="s">
        <v>14</v>
      </c>
      <c r="C3" s="4">
        <v>24418738</v>
      </c>
      <c r="D3" s="2">
        <v>8.43</v>
      </c>
      <c r="E3" s="2">
        <v>8</v>
      </c>
      <c r="F3" s="2"/>
      <c r="H3" s="8">
        <f>C3/$H$11</f>
        <v>7.5435296279822997E-2</v>
      </c>
    </row>
    <row r="4" spans="1:8" ht="80" x14ac:dyDescent="0.2">
      <c r="A4" s="2" t="s">
        <v>5</v>
      </c>
      <c r="B4" s="6" t="s">
        <v>15</v>
      </c>
      <c r="C4" s="4">
        <v>64046741</v>
      </c>
      <c r="D4" s="2">
        <v>6.02</v>
      </c>
      <c r="E4" s="2">
        <v>10.6</v>
      </c>
      <c r="F4" s="2"/>
      <c r="H4" s="8">
        <f>C4/$H$11</f>
        <v>0.19785563377976728</v>
      </c>
    </row>
    <row r="5" spans="1:8" ht="32" x14ac:dyDescent="0.2">
      <c r="A5" s="2" t="s">
        <v>6</v>
      </c>
      <c r="B5" s="6" t="s">
        <v>21</v>
      </c>
      <c r="C5" s="4">
        <v>13811810</v>
      </c>
      <c r="D5" s="2">
        <v>8.23</v>
      </c>
      <c r="E5" s="2">
        <v>8.1999999999999993</v>
      </c>
      <c r="F5" s="2"/>
      <c r="H5" s="8">
        <f>C5/$H$11</f>
        <v>4.2667969962682836E-2</v>
      </c>
    </row>
    <row r="6" spans="1:8" ht="32" x14ac:dyDescent="0.2">
      <c r="A6" s="2" t="s">
        <v>11</v>
      </c>
      <c r="B6" s="6" t="s">
        <v>16</v>
      </c>
      <c r="C6" s="4">
        <v>45388414</v>
      </c>
      <c r="D6" s="2">
        <v>18.82</v>
      </c>
      <c r="E6" s="2">
        <v>18</v>
      </c>
      <c r="F6" s="2"/>
      <c r="H6" s="8">
        <f>C6/$H$11</f>
        <v>0.14021561874988239</v>
      </c>
    </row>
    <row r="7" spans="1:8" ht="48" x14ac:dyDescent="0.2">
      <c r="A7" s="2" t="s">
        <v>7</v>
      </c>
      <c r="B7" s="6" t="s">
        <v>17</v>
      </c>
      <c r="C7" s="4">
        <v>59356072</v>
      </c>
      <c r="D7" s="2">
        <v>9.7200000000000006</v>
      </c>
      <c r="E7" s="2">
        <v>18.399999999999999</v>
      </c>
      <c r="F7" s="2"/>
      <c r="H7" s="8">
        <f>C7/$H$11</f>
        <v>0.18336504029514161</v>
      </c>
    </row>
    <row r="8" spans="1:8" ht="32" x14ac:dyDescent="0.2">
      <c r="A8" s="2" t="s">
        <v>8</v>
      </c>
      <c r="B8" s="6" t="s">
        <v>18</v>
      </c>
      <c r="C8" s="4">
        <v>17613981</v>
      </c>
      <c r="D8" s="2">
        <v>14.05</v>
      </c>
      <c r="E8" s="2">
        <v>13.6</v>
      </c>
      <c r="F8" s="2"/>
      <c r="H8" s="8">
        <f>C8/$H$11</f>
        <v>5.441378155587618E-2</v>
      </c>
    </row>
    <row r="9" spans="1:8" x14ac:dyDescent="0.2">
      <c r="A9" s="2" t="s">
        <v>9</v>
      </c>
      <c r="B9" s="6" t="s">
        <v>22</v>
      </c>
      <c r="C9" s="4">
        <v>43708574</v>
      </c>
      <c r="D9" s="2">
        <v>8.91</v>
      </c>
      <c r="E9" s="2">
        <v>16.600000000000001</v>
      </c>
      <c r="F9" s="2"/>
      <c r="H9" s="8">
        <f>C9/$H$11</f>
        <v>0.13502619298583604</v>
      </c>
    </row>
    <row r="10" spans="1:8" ht="48" x14ac:dyDescent="0.2">
      <c r="A10" s="2" t="s">
        <v>10</v>
      </c>
      <c r="B10" s="6" t="s">
        <v>19</v>
      </c>
      <c r="C10" s="4">
        <v>5168753</v>
      </c>
      <c r="D10" s="2">
        <v>15.55</v>
      </c>
      <c r="E10" s="2">
        <v>7.6</v>
      </c>
      <c r="F10" s="2"/>
      <c r="H10" s="8">
        <f>C10/$H$11</f>
        <v>1.5967508802143007E-2</v>
      </c>
    </row>
    <row r="11" spans="1:8" x14ac:dyDescent="0.2">
      <c r="H11" s="9">
        <f>SUM(C2:C10)</f>
        <v>323704409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2018-06-19T15:06:23Z</dcterms:created>
  <dcterms:modified xsi:type="dcterms:W3CDTF">2018-06-19T17:46:48Z</dcterms:modified>
</cp:coreProperties>
</file>